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byali\Downloads\1_Water_Leak_Detector\1_Water_Leak_Detector\V1.1\GERBERS-ASSY FILES\BOM\"/>
    </mc:Choice>
  </mc:AlternateContent>
  <xr:revisionPtr revIDLastSave="0" documentId="13_ncr:1_{FE06770F-BC44-4607-9AB3-CAD595D9BB33}" xr6:coauthVersionLast="47" xr6:coauthVersionMax="47" xr10:uidLastSave="{00000000-0000-0000-0000-000000000000}"/>
  <bookViews>
    <workbookView xWindow="28680" yWindow="-120" windowWidth="29040" windowHeight="15720" tabRatio="255" xr2:uid="{00000000-000D-0000-FFFF-FFFF00000000}"/>
  </bookViews>
  <sheets>
    <sheet name="BOM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8" l="1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E3" i="8"/>
</calcChain>
</file>

<file path=xl/sharedStrings.xml><?xml version="1.0" encoding="utf-8"?>
<sst xmlns="http://schemas.openxmlformats.org/spreadsheetml/2006/main" count="112" uniqueCount="104">
  <si>
    <t>BOM # V1c</t>
  </si>
  <si>
    <t>#</t>
  </si>
  <si>
    <t>Approved</t>
  </si>
  <si>
    <t>Notes</t>
  </si>
  <si>
    <t>WATERALARM_V1.1.PrjPcb</t>
  </si>
  <si>
    <t>AB</t>
  </si>
  <si>
    <t>Basic</t>
  </si>
  <si>
    <t>V1.1</t>
  </si>
  <si>
    <t>29</t>
  </si>
  <si>
    <t>Designator</t>
  </si>
  <si>
    <t>BZ1</t>
  </si>
  <si>
    <t>C1, C3, C5</t>
  </si>
  <si>
    <t>C2, C4, C6</t>
  </si>
  <si>
    <t>D1, D2, D3</t>
  </si>
  <si>
    <t>D4</t>
  </si>
  <si>
    <t>DM1, DM2, DM3</t>
  </si>
  <si>
    <t>J1</t>
  </si>
  <si>
    <t>LED1, LED2, LED3</t>
  </si>
  <si>
    <t>Q1, Q2</t>
  </si>
  <si>
    <t>R1, R2</t>
  </si>
  <si>
    <t>R3</t>
  </si>
  <si>
    <t>RLY1</t>
  </si>
  <si>
    <t>SW1</t>
  </si>
  <si>
    <t>U1</t>
  </si>
  <si>
    <t>U2</t>
  </si>
  <si>
    <t>VAR1</t>
  </si>
  <si>
    <t>VR1</t>
  </si>
  <si>
    <t>Footprint</t>
  </si>
  <si>
    <t>piezo buzzer</t>
  </si>
  <si>
    <t>C0805-N</t>
  </si>
  <si>
    <t>SMA</t>
  </si>
  <si>
    <t>DIONM5127X250N</t>
  </si>
  <si>
    <t>11 pin Terminal sping loaded</t>
  </si>
  <si>
    <t>led 3mm</t>
  </si>
  <si>
    <t>SOT-23</t>
  </si>
  <si>
    <t>C1210</t>
  </si>
  <si>
    <t>JW2SNDC5V</t>
  </si>
  <si>
    <t>Slide Switch</t>
  </si>
  <si>
    <t>SOP65P640X120-20N</t>
  </si>
  <si>
    <t>SOT89M</t>
  </si>
  <si>
    <t>ERZV05D180</t>
  </si>
  <si>
    <t>Potentiometer</t>
  </si>
  <si>
    <t>Manufacturer</t>
  </si>
  <si>
    <t>SANCO / YXDZ</t>
  </si>
  <si>
    <t>SAMSUNG</t>
  </si>
  <si>
    <t>ON Semiconductor</t>
  </si>
  <si>
    <t>YAGEO</t>
  </si>
  <si>
    <t>KLS ELECTRONIC</t>
  </si>
  <si>
    <t>DEGSON/GAOSONG</t>
  </si>
  <si>
    <t>STRONG BASE</t>
  </si>
  <si>
    <t>NXP</t>
  </si>
  <si>
    <t>ROYALOHM</t>
  </si>
  <si>
    <t>HOTTECH</t>
  </si>
  <si>
    <t>Panasonic</t>
  </si>
  <si>
    <t>STMicroelectronics</t>
  </si>
  <si>
    <t>STM</t>
  </si>
  <si>
    <t>THINKING</t>
  </si>
  <si>
    <t>Manufacturer Part Number</t>
  </si>
  <si>
    <t>EPT-14A4009P050D / YX-WY1470A</t>
  </si>
  <si>
    <t>CL21B104KBCNNNL</t>
  </si>
  <si>
    <t>CL21A475KBQNNNE</t>
  </si>
  <si>
    <t>US1D_R1_00001</t>
  </si>
  <si>
    <t>SMAJ36CA/TR7</t>
  </si>
  <si>
    <t>L-KLS8-0108-LED-12</t>
  </si>
  <si>
    <t>DG250-3.5-11P</t>
  </si>
  <si>
    <t>3R4HD-7-TB</t>
  </si>
  <si>
    <t>BC817-40,215</t>
  </si>
  <si>
    <t>0805S8F2211T5E/0805S8J0222T5E</t>
  </si>
  <si>
    <t>RI1210L122JT</t>
  </si>
  <si>
    <t>JW2SN-DC5V</t>
  </si>
  <si>
    <t>L-KLS7-SS-12F20A-G5</t>
  </si>
  <si>
    <t>STM8L051F3P6TR</t>
  </si>
  <si>
    <t>L78L33ACUTR</t>
  </si>
  <si>
    <t>TVR07470KSY</t>
  </si>
  <si>
    <t>L-KLS4-WH06-2A-103</t>
  </si>
  <si>
    <t>Description</t>
  </si>
  <si>
    <t>BUZZER PIEZO W/O CIRCUIT 9V 4-KHZ THT</t>
  </si>
  <si>
    <t>MLCC (2012) 0805 100nF 50VDC ±10% X7R</t>
  </si>
  <si>
    <t>MLCC (2012) 0805 4.7uF 50VDC ±10% X5R</t>
  </si>
  <si>
    <t>DIODE U.FAST SINGLE 1A 200V DO214AC (SMA) SMT</t>
  </si>
  <si>
    <t>58.1V Clamp 6.9A Ipp Tvs Diode Surface Mount DO-214AC (SMA)</t>
  </si>
  <si>
    <t>LED DISTANCE SPACER 12.00mm NONE Ø5.00mm</t>
  </si>
  <si>
    <t>TERM.BLK.3.50MM 11P PCB TYPE GRAY GAOSONG</t>
  </si>
  <si>
    <t>LED 3MM RED 30mcd 35° RED/DIFFUSED</t>
  </si>
  <si>
    <t>TRANSISTOR DIS.500mA 45V NPN SOT23 GEN. SMT</t>
  </si>
  <si>
    <t>RES.(2012) 0805 2.21K/2.2K Ohms 1%/5% 1/8W-S 100PPM</t>
  </si>
  <si>
    <t>RES.(3225) 1210 1.2K Ohms 5% 1/2W 200PPM</t>
  </si>
  <si>
    <t>General Purpose Relay DPDT (2 Form C) 5VDC Coil Through Hole</t>
  </si>
  <si>
    <t>SWITCH SLIDE 1P2T 500mA 50V On-On THT V/T</t>
  </si>
  <si>
    <t>IC-8L051 MCU 8BIT 8K FLASH TSSOP20</t>
  </si>
  <si>
    <t>IC-78L33 VOLTAGE REGULATOR 3.3V 100mA SOT89 ST</t>
  </si>
  <si>
    <t>VARISTOR DISC 7MM 47V 250A 30VAC 38VDC THT</t>
  </si>
  <si>
    <t>TRIMPOT CARBON V 6MM 10K</t>
  </si>
  <si>
    <t>Value</t>
  </si>
  <si>
    <t>100nF</t>
  </si>
  <si>
    <t>4.7uF</t>
  </si>
  <si>
    <t>200V 1A</t>
  </si>
  <si>
    <t>58.1V</t>
  </si>
  <si>
    <t>LED DISTANCE SPACER 12.00mm Ø5.00mm</t>
  </si>
  <si>
    <t>2.21K/2.2K</t>
  </si>
  <si>
    <t>1.2K</t>
  </si>
  <si>
    <t>10K</t>
  </si>
  <si>
    <t>Quantity</t>
  </si>
  <si>
    <t>Burak YALIM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</si>
</sst>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FF"/>
      </left>
      <right style="medium">
        <color indexed="64"/>
      </right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 style="medium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FF"/>
      </right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 style="medium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/>
      <top style="thick">
        <color rgb="FF0070C0"/>
      </top>
      <bottom/>
      <diagonal/>
    </border>
    <border>
      <left style="medium">
        <color indexed="64"/>
      </left>
      <right style="thick">
        <color rgb="FF0000FF"/>
      </right>
      <top style="thick">
        <color rgb="FF0070C0"/>
      </top>
      <bottom style="thin">
        <color indexed="64"/>
      </bottom>
      <diagonal/>
    </border>
    <border>
      <left/>
      <right style="thick">
        <color rgb="FF0000FF"/>
      </right>
      <top/>
      <bottom style="medium">
        <color rgb="FF0000FF"/>
      </bottom>
      <diagonal/>
    </border>
    <border>
      <left style="thick">
        <color rgb="FF0000FF"/>
      </left>
      <right/>
      <top style="thick">
        <color rgb="FF0070C0"/>
      </top>
      <bottom/>
      <diagonal/>
    </border>
    <border>
      <left style="thick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1" fillId="0" borderId="5" xfId="0" quotePrefix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3" xfId="0" quotePrefix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 applyProtection="1">
      <alignment horizontal="right" vertical="center"/>
      <protection locked="0"/>
    </xf>
    <xf numFmtId="0" fontId="4" fillId="5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top"/>
      <protection locked="0"/>
    </xf>
    <xf numFmtId="0" fontId="6" fillId="4" borderId="25" xfId="0" applyFont="1" applyFill="1" applyBorder="1" applyAlignment="1" applyProtection="1">
      <alignment vertical="top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0" fillId="5" borderId="18" xfId="0" applyFill="1" applyBorder="1" applyAlignment="1">
      <alignment vertical="center"/>
    </xf>
    <xf numFmtId="0" fontId="1" fillId="7" borderId="12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0" borderId="17" xfId="0" quotePrefix="1" applyFont="1" applyBorder="1" applyAlignment="1" applyProtection="1">
      <alignment horizontal="right" vertical="center"/>
      <protection locked="0"/>
    </xf>
    <xf numFmtId="14" fontId="1" fillId="0" borderId="6" xfId="0" quotePrefix="1" applyNumberFormat="1" applyFont="1" applyBorder="1" applyAlignment="1" applyProtection="1">
      <alignment horizontal="center" vertical="center"/>
      <protection locked="0"/>
    </xf>
    <xf numFmtId="0" fontId="1" fillId="0" borderId="29" xfId="0" quotePrefix="1" applyFont="1" applyBorder="1" applyAlignment="1" applyProtection="1">
      <alignment horizontal="right" vertical="center"/>
      <protection locked="0"/>
    </xf>
    <xf numFmtId="0" fontId="7" fillId="4" borderId="23" xfId="0" quotePrefix="1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2" fillId="0" borderId="13" xfId="0" quotePrefix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top"/>
      <protection locked="0"/>
    </xf>
    <xf numFmtId="0" fontId="5" fillId="4" borderId="23" xfId="0" applyFont="1" applyFill="1" applyBorder="1" applyAlignment="1" applyProtection="1">
      <alignment horizontal="left" vertical="top"/>
      <protection locked="0"/>
    </xf>
    <xf numFmtId="0" fontId="5" fillId="4" borderId="27" xfId="0" applyFont="1" applyFill="1" applyBorder="1" applyAlignment="1" applyProtection="1">
      <alignment horizontal="left" vertical="top"/>
      <protection locked="0"/>
    </xf>
    <xf numFmtId="0" fontId="5" fillId="4" borderId="22" xfId="0" applyFont="1" applyFill="1" applyBorder="1" applyAlignment="1" applyProtection="1">
      <alignment horizontal="left" vertical="top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3</xdr:col>
      <xdr:colOff>186018</xdr:colOff>
      <xdr:row>3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667EE68-5DBC-4E01-A857-4433F4EA5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30480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A081-8155-4E32-B071-3C537E7C81EC}">
  <dimension ref="A1:H24"/>
  <sheetViews>
    <sheetView tabSelected="1" zoomScale="85" zoomScaleNormal="85" workbookViewId="0">
      <selection activeCell="B25" sqref="B25"/>
    </sheetView>
  </sheetViews>
  <sheetFormatPr defaultRowHeight="12.75" x14ac:dyDescent="0.2"/>
  <cols>
    <col min="1" max="1" width="3.140625" customWidth="1"/>
    <col min="2" max="2" width="17.28515625" bestFit="1" customWidth="1"/>
    <col min="3" max="3" width="25" bestFit="1" customWidth="1"/>
    <col min="4" max="4" width="19.42578125" bestFit="1" customWidth="1"/>
    <col min="5" max="5" width="31.7109375" bestFit="1" customWidth="1"/>
    <col min="6" max="6" width="57.140625" bestFit="1" customWidth="1"/>
    <col min="7" max="7" width="40.5703125" bestFit="1" customWidth="1"/>
    <col min="8" max="8" width="10.7109375" bestFit="1" customWidth="1"/>
  </cols>
  <sheetData>
    <row r="1" spans="1:8" ht="13.5" thickBot="1" x14ac:dyDescent="0.25">
      <c r="A1" s="31"/>
      <c r="B1" s="43"/>
      <c r="C1" s="22"/>
      <c r="D1" s="23"/>
      <c r="E1" s="33" t="s">
        <v>4</v>
      </c>
      <c r="F1" s="34"/>
      <c r="G1" s="34"/>
      <c r="H1" s="11" t="s">
        <v>0</v>
      </c>
    </row>
    <row r="2" spans="1:8" ht="34.5" customHeight="1" thickBot="1" x14ac:dyDescent="0.25">
      <c r="A2" s="32"/>
      <c r="B2" s="44"/>
      <c r="C2" s="23"/>
      <c r="D2" s="23"/>
      <c r="E2" s="35"/>
      <c r="F2" s="36"/>
      <c r="G2" s="36"/>
      <c r="H2" s="26" t="s">
        <v>5</v>
      </c>
    </row>
    <row r="3" spans="1:8" ht="28.5" customHeight="1" thickBot="1" x14ac:dyDescent="0.25">
      <c r="A3" s="32"/>
      <c r="B3" s="45"/>
      <c r="C3" s="24"/>
      <c r="D3" s="25"/>
      <c r="E3" s="1">
        <f ca="1">TODAY()</f>
        <v>46078</v>
      </c>
      <c r="F3" s="27" t="s">
        <v>6</v>
      </c>
      <c r="G3" s="20"/>
      <c r="H3" s="28" t="s">
        <v>7</v>
      </c>
    </row>
    <row r="4" spans="1:8" ht="13.5" thickBot="1" x14ac:dyDescent="0.25">
      <c r="A4" s="21"/>
      <c r="B4" s="41"/>
      <c r="C4" s="41"/>
      <c r="D4" s="41"/>
      <c r="E4" s="41"/>
      <c r="F4" s="41"/>
      <c r="G4" s="41"/>
      <c r="H4" s="42"/>
    </row>
    <row r="5" spans="1:8" x14ac:dyDescent="0.2">
      <c r="A5" s="12" t="s">
        <v>1</v>
      </c>
      <c r="B5" s="5" t="s">
        <v>9</v>
      </c>
      <c r="C5" s="4" t="s">
        <v>27</v>
      </c>
      <c r="D5" s="4" t="s">
        <v>42</v>
      </c>
      <c r="E5" s="13" t="s">
        <v>57</v>
      </c>
      <c r="F5" s="4" t="s">
        <v>75</v>
      </c>
      <c r="G5" s="4" t="s">
        <v>93</v>
      </c>
      <c r="H5" s="4" t="s">
        <v>102</v>
      </c>
    </row>
    <row r="6" spans="1:8" x14ac:dyDescent="0.2">
      <c r="A6" s="12">
        <f>ROW(A6) - ROW($A$5)</f>
        <v>1</v>
      </c>
      <c r="B6" s="10" t="s">
        <v>10</v>
      </c>
      <c r="C6" s="6" t="s">
        <v>28</v>
      </c>
      <c r="D6" s="8" t="s">
        <v>43</v>
      </c>
      <c r="E6" s="7" t="s">
        <v>58</v>
      </c>
      <c r="F6" s="7" t="s">
        <v>76</v>
      </c>
      <c r="G6" s="7"/>
      <c r="H6" s="14">
        <v>1</v>
      </c>
    </row>
    <row r="7" spans="1:8" x14ac:dyDescent="0.2">
      <c r="A7" s="12">
        <f t="shared" ref="A7:A21" si="0">ROW(A7) - ROW($A$5)</f>
        <v>2</v>
      </c>
      <c r="B7" s="9" t="s">
        <v>11</v>
      </c>
      <c r="C7" s="3" t="s">
        <v>29</v>
      </c>
      <c r="D7" s="3" t="s">
        <v>44</v>
      </c>
      <c r="E7" s="2" t="s">
        <v>59</v>
      </c>
      <c r="F7" s="2" t="s">
        <v>77</v>
      </c>
      <c r="G7" s="2" t="s">
        <v>94</v>
      </c>
      <c r="H7" s="15">
        <v>3</v>
      </c>
    </row>
    <row r="8" spans="1:8" x14ac:dyDescent="0.2">
      <c r="A8" s="12">
        <f>ROW(A8) - ROW($A$5)</f>
        <v>3</v>
      </c>
      <c r="B8" s="10" t="s">
        <v>12</v>
      </c>
      <c r="C8" s="6" t="s">
        <v>29</v>
      </c>
      <c r="D8" s="8" t="s">
        <v>44</v>
      </c>
      <c r="E8" s="7" t="s">
        <v>60</v>
      </c>
      <c r="F8" s="7" t="s">
        <v>78</v>
      </c>
      <c r="G8" s="7" t="s">
        <v>95</v>
      </c>
      <c r="H8" s="14">
        <v>3</v>
      </c>
    </row>
    <row r="9" spans="1:8" x14ac:dyDescent="0.2">
      <c r="A9" s="12">
        <f t="shared" si="0"/>
        <v>4</v>
      </c>
      <c r="B9" s="9" t="s">
        <v>13</v>
      </c>
      <c r="C9" s="3" t="s">
        <v>30</v>
      </c>
      <c r="D9" s="3" t="s">
        <v>45</v>
      </c>
      <c r="E9" s="2" t="s">
        <v>61</v>
      </c>
      <c r="F9" s="2" t="s">
        <v>79</v>
      </c>
      <c r="G9" s="2" t="s">
        <v>96</v>
      </c>
      <c r="H9" s="15">
        <v>3</v>
      </c>
    </row>
    <row r="10" spans="1:8" x14ac:dyDescent="0.2">
      <c r="A10" s="12">
        <f>ROW(A10) - ROW($A$5)</f>
        <v>5</v>
      </c>
      <c r="B10" s="10" t="s">
        <v>14</v>
      </c>
      <c r="C10" s="6" t="s">
        <v>31</v>
      </c>
      <c r="D10" s="8" t="s">
        <v>46</v>
      </c>
      <c r="E10" s="7" t="s">
        <v>62</v>
      </c>
      <c r="F10" s="7" t="s">
        <v>80</v>
      </c>
      <c r="G10" s="7" t="s">
        <v>97</v>
      </c>
      <c r="H10" s="14">
        <v>1</v>
      </c>
    </row>
    <row r="11" spans="1:8" x14ac:dyDescent="0.2">
      <c r="A11" s="12">
        <f t="shared" si="0"/>
        <v>6</v>
      </c>
      <c r="B11" s="9" t="s">
        <v>15</v>
      </c>
      <c r="C11" s="3"/>
      <c r="D11" s="3" t="s">
        <v>47</v>
      </c>
      <c r="E11" s="2" t="s">
        <v>63</v>
      </c>
      <c r="F11" s="2" t="s">
        <v>81</v>
      </c>
      <c r="G11" s="2" t="s">
        <v>98</v>
      </c>
      <c r="H11" s="15">
        <v>3</v>
      </c>
    </row>
    <row r="12" spans="1:8" x14ac:dyDescent="0.2">
      <c r="A12" s="12">
        <f>ROW(A12) - ROW($A$5)</f>
        <v>7</v>
      </c>
      <c r="B12" s="10" t="s">
        <v>16</v>
      </c>
      <c r="C12" s="6" t="s">
        <v>32</v>
      </c>
      <c r="D12" s="8" t="s">
        <v>48</v>
      </c>
      <c r="E12" s="7" t="s">
        <v>64</v>
      </c>
      <c r="F12" s="7" t="s">
        <v>82</v>
      </c>
      <c r="G12" s="7" t="s">
        <v>64</v>
      </c>
      <c r="H12" s="14">
        <v>1</v>
      </c>
    </row>
    <row r="13" spans="1:8" x14ac:dyDescent="0.2">
      <c r="A13" s="12">
        <f t="shared" si="0"/>
        <v>8</v>
      </c>
      <c r="B13" s="9" t="s">
        <v>17</v>
      </c>
      <c r="C13" s="3" t="s">
        <v>33</v>
      </c>
      <c r="D13" s="3" t="s">
        <v>49</v>
      </c>
      <c r="E13" s="2" t="s">
        <v>65</v>
      </c>
      <c r="F13" s="2" t="s">
        <v>83</v>
      </c>
      <c r="G13" s="2"/>
      <c r="H13" s="15">
        <v>3</v>
      </c>
    </row>
    <row r="14" spans="1:8" x14ac:dyDescent="0.2">
      <c r="A14" s="12">
        <f>ROW(A14) - ROW($A$5)</f>
        <v>9</v>
      </c>
      <c r="B14" s="10" t="s">
        <v>18</v>
      </c>
      <c r="C14" s="6" t="s">
        <v>34</v>
      </c>
      <c r="D14" s="8" t="s">
        <v>50</v>
      </c>
      <c r="E14" s="7" t="s">
        <v>66</v>
      </c>
      <c r="F14" s="7" t="s">
        <v>84</v>
      </c>
      <c r="G14" s="7"/>
      <c r="H14" s="14">
        <v>2</v>
      </c>
    </row>
    <row r="15" spans="1:8" x14ac:dyDescent="0.2">
      <c r="A15" s="12">
        <f t="shared" si="0"/>
        <v>10</v>
      </c>
      <c r="B15" s="9" t="s">
        <v>19</v>
      </c>
      <c r="C15" s="3" t="s">
        <v>29</v>
      </c>
      <c r="D15" s="3" t="s">
        <v>51</v>
      </c>
      <c r="E15" s="2" t="s">
        <v>67</v>
      </c>
      <c r="F15" s="2" t="s">
        <v>85</v>
      </c>
      <c r="G15" s="2" t="s">
        <v>99</v>
      </c>
      <c r="H15" s="15">
        <v>2</v>
      </c>
    </row>
    <row r="16" spans="1:8" x14ac:dyDescent="0.2">
      <c r="A16" s="12">
        <f>ROW(A16) - ROW($A$5)</f>
        <v>11</v>
      </c>
      <c r="B16" s="10" t="s">
        <v>20</v>
      </c>
      <c r="C16" s="6" t="s">
        <v>35</v>
      </c>
      <c r="D16" s="8" t="s">
        <v>52</v>
      </c>
      <c r="E16" s="7" t="s">
        <v>68</v>
      </c>
      <c r="F16" s="7" t="s">
        <v>86</v>
      </c>
      <c r="G16" s="7" t="s">
        <v>100</v>
      </c>
      <c r="H16" s="14">
        <v>1</v>
      </c>
    </row>
    <row r="17" spans="1:8" x14ac:dyDescent="0.2">
      <c r="A17" s="12">
        <f t="shared" si="0"/>
        <v>12</v>
      </c>
      <c r="B17" s="9" t="s">
        <v>21</v>
      </c>
      <c r="C17" s="3" t="s">
        <v>36</v>
      </c>
      <c r="D17" s="3" t="s">
        <v>53</v>
      </c>
      <c r="E17" s="2" t="s">
        <v>69</v>
      </c>
      <c r="F17" s="2" t="s">
        <v>87</v>
      </c>
      <c r="G17" s="2"/>
      <c r="H17" s="15">
        <v>1</v>
      </c>
    </row>
    <row r="18" spans="1:8" x14ac:dyDescent="0.2">
      <c r="A18" s="12">
        <f>ROW(A18) - ROW($A$5)</f>
        <v>13</v>
      </c>
      <c r="B18" s="10" t="s">
        <v>22</v>
      </c>
      <c r="C18" s="6" t="s">
        <v>37</v>
      </c>
      <c r="D18" s="8" t="s">
        <v>47</v>
      </c>
      <c r="E18" s="7" t="s">
        <v>70</v>
      </c>
      <c r="F18" s="7" t="s">
        <v>88</v>
      </c>
      <c r="G18" s="7"/>
      <c r="H18" s="14">
        <v>1</v>
      </c>
    </row>
    <row r="19" spans="1:8" x14ac:dyDescent="0.2">
      <c r="A19" s="12">
        <f t="shared" si="0"/>
        <v>14</v>
      </c>
      <c r="B19" s="9" t="s">
        <v>23</v>
      </c>
      <c r="C19" s="3" t="s">
        <v>38</v>
      </c>
      <c r="D19" s="3" t="s">
        <v>54</v>
      </c>
      <c r="E19" s="2" t="s">
        <v>71</v>
      </c>
      <c r="F19" s="2" t="s">
        <v>89</v>
      </c>
      <c r="G19" s="2"/>
      <c r="H19" s="15">
        <v>1</v>
      </c>
    </row>
    <row r="20" spans="1:8" x14ac:dyDescent="0.2">
      <c r="A20" s="12">
        <f>ROW(A20) - ROW($A$5)</f>
        <v>15</v>
      </c>
      <c r="B20" s="10" t="s">
        <v>24</v>
      </c>
      <c r="C20" s="6" t="s">
        <v>39</v>
      </c>
      <c r="D20" s="8" t="s">
        <v>55</v>
      </c>
      <c r="E20" s="7" t="s">
        <v>72</v>
      </c>
      <c r="F20" s="7" t="s">
        <v>90</v>
      </c>
      <c r="G20" s="7" t="s">
        <v>72</v>
      </c>
      <c r="H20" s="14">
        <v>1</v>
      </c>
    </row>
    <row r="21" spans="1:8" x14ac:dyDescent="0.2">
      <c r="A21" s="12">
        <f t="shared" si="0"/>
        <v>16</v>
      </c>
      <c r="B21" s="9" t="s">
        <v>25</v>
      </c>
      <c r="C21" s="3" t="s">
        <v>40</v>
      </c>
      <c r="D21" s="3" t="s">
        <v>56</v>
      </c>
      <c r="E21" s="2" t="s">
        <v>73</v>
      </c>
      <c r="F21" s="2" t="s">
        <v>91</v>
      </c>
      <c r="G21" s="2" t="s">
        <v>73</v>
      </c>
      <c r="H21" s="15">
        <v>1</v>
      </c>
    </row>
    <row r="22" spans="1:8" ht="13.5" thickBot="1" x14ac:dyDescent="0.25">
      <c r="A22" s="12">
        <f>ROW(A22) - ROW($A$5)</f>
        <v>17</v>
      </c>
      <c r="B22" s="10" t="s">
        <v>26</v>
      </c>
      <c r="C22" s="6" t="s">
        <v>41</v>
      </c>
      <c r="D22" s="8" t="s">
        <v>47</v>
      </c>
      <c r="E22" s="7" t="s">
        <v>74</v>
      </c>
      <c r="F22" s="7" t="s">
        <v>92</v>
      </c>
      <c r="G22" s="7" t="s">
        <v>101</v>
      </c>
      <c r="H22" s="14">
        <v>1</v>
      </c>
    </row>
    <row r="23" spans="1:8" ht="16.5" customHeight="1" thickTop="1" x14ac:dyDescent="0.2">
      <c r="A23" s="16"/>
      <c r="B23" s="18" t="s">
        <v>2</v>
      </c>
      <c r="C23" s="37" t="s">
        <v>3</v>
      </c>
      <c r="D23" s="38"/>
      <c r="E23" s="38"/>
      <c r="F23" s="38"/>
      <c r="G23" s="38"/>
      <c r="H23" s="29" t="s">
        <v>8</v>
      </c>
    </row>
    <row r="24" spans="1:8" ht="13.5" thickBot="1" x14ac:dyDescent="0.25">
      <c r="A24" s="17"/>
      <c r="B24" s="19" t="s">
        <v>103</v>
      </c>
      <c r="C24" s="39"/>
      <c r="D24" s="40"/>
      <c r="E24" s="40"/>
      <c r="F24" s="40"/>
      <c r="G24" s="40"/>
      <c r="H24" s="30"/>
    </row>
  </sheetData>
  <mergeCells count="6">
    <mergeCell ref="H23:H24"/>
    <mergeCell ref="A1:A3"/>
    <mergeCell ref="E1:G2"/>
    <mergeCell ref="C23:G24"/>
    <mergeCell ref="B4:H4"/>
    <mergeCell ref="B1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Burak Yalım</cp:lastModifiedBy>
  <cp:lastPrinted>2020-06-22T16:06:23Z</cp:lastPrinted>
  <dcterms:created xsi:type="dcterms:W3CDTF">2002-10-08T10:47:58Z</dcterms:created>
  <dcterms:modified xsi:type="dcterms:W3CDTF">2026-02-25T10:09:48Z</dcterms:modified>
</cp:coreProperties>
</file>