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eefad33a2466c6/Desktop/1.Hardware/1.ProjectsHW/2.WaterAlarm/WaterAlarm-hardware/V1.1/PROJECT/"/>
    </mc:Choice>
  </mc:AlternateContent>
  <xr:revisionPtr revIDLastSave="49" documentId="13_ncr:1_{DAA5BB35-3A2E-4F9A-8A47-8E74D6CEC80C}" xr6:coauthVersionLast="47" xr6:coauthVersionMax="47" xr10:uidLastSave="{34F9376D-7D6A-497C-BC60-AF84C06C1EF3}"/>
  <bookViews>
    <workbookView xWindow="28680" yWindow="-120" windowWidth="29040" windowHeight="1572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3" l="1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I8" i="3"/>
  <c r="J8" i="3"/>
</calcChain>
</file>

<file path=xl/sharedStrings.xml><?xml version="1.0" encoding="utf-8"?>
<sst xmlns="http://schemas.openxmlformats.org/spreadsheetml/2006/main" count="174" uniqueCount="125">
  <si>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</si>
  <si>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</si>
  <si>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</si>
  <si>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</si>
  <si>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</si>
  <si>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</si>
  <si>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</si>
  <si>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</si>
  <si>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</si>
  <si>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</si>
  <si>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</si>
  <si>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</si>
  <si>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</si>
  <si>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</si>
  <si>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</si>
  <si>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</si>
  <si>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</si>
  <si>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</si>
  <si>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</si>
  <si>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Component list</t>
  </si>
  <si>
    <t>Approved</t>
  </si>
  <si>
    <t>Notes</t>
  </si>
  <si>
    <t>#</t>
  </si>
  <si>
    <t xml:space="preserve"> </t>
  </si>
  <si>
    <t>Bill of Materials for Project [WATERALARM_V1.1.PrjPcb] (No PCB Document Selected)</t>
  </si>
  <si>
    <t>WATERALARM_V1.1.PrjPcb</t>
  </si>
  <si>
    <t>None</t>
  </si>
  <si>
    <t>27.02.2026</t>
  </si>
  <si>
    <t>08:58</t>
  </si>
  <si>
    <t>29</t>
  </si>
  <si>
    <t>Designator</t>
  </si>
  <si>
    <t>D4</t>
  </si>
  <si>
    <t>VAR1</t>
  </si>
  <si>
    <t>LED1, LED2, LED3</t>
  </si>
  <si>
    <t>U1</t>
  </si>
  <si>
    <t>U2</t>
  </si>
  <si>
    <t>BZ1</t>
  </si>
  <si>
    <t>C1, C3, C5</t>
  </si>
  <si>
    <t>C2, C4, C6</t>
  </si>
  <si>
    <t>R1, R2</t>
  </si>
  <si>
    <t>RLY1</t>
  </si>
  <si>
    <t>D1, D2, D3</t>
  </si>
  <si>
    <t>Q1, Q2</t>
  </si>
  <si>
    <t>DM1, DM2, DM3</t>
  </si>
  <si>
    <t>SW1</t>
  </si>
  <si>
    <t>VR1</t>
  </si>
  <si>
    <t>R3</t>
  </si>
  <si>
    <t>J1</t>
  </si>
  <si>
    <t>Fitted</t>
  </si>
  <si>
    <t>Comment</t>
  </si>
  <si>
    <t>SMAJ36CA/TR7 / SMAJ36CA-UMW</t>
  </si>
  <si>
    <t>TVR07470KSY</t>
  </si>
  <si>
    <t>3R4HD-7-TB</t>
  </si>
  <si>
    <t>STM8L051F3P6TR</t>
  </si>
  <si>
    <t>L78L33ACUTR</t>
  </si>
  <si>
    <t>EPT-14A4009P050D / YX-WY1470A</t>
  </si>
  <si>
    <t>CL21B104KBCNNNL</t>
  </si>
  <si>
    <t>CL21A475KBQNNNE</t>
  </si>
  <si>
    <t>0805S8F2211T5E/0805S8J0222T5E</t>
  </si>
  <si>
    <t>JW2SN-DC5V</t>
  </si>
  <si>
    <t>US1D_R1_00001 / US1D-SMA-MDD</t>
  </si>
  <si>
    <t>BC817-40,215</t>
  </si>
  <si>
    <t>L-KLS8-0108-LED-12</t>
  </si>
  <si>
    <t>L-KLS7-SS-12F20A-G5</t>
  </si>
  <si>
    <t>L-KLS4-WH06-2A-103</t>
  </si>
  <si>
    <t>RI1210L122JT</t>
  </si>
  <si>
    <t>DG250-3.5-11P</t>
  </si>
  <si>
    <t>Description</t>
  </si>
  <si>
    <t>58.1V Clamp 6.9A Ipp Tvs Diode Surface Mount DO-214AC (SMA)</t>
  </si>
  <si>
    <t>VARISTOR DISC 7MM 47V 250A 30VAC 38VDC THT</t>
  </si>
  <si>
    <t>LED 3MM RED 30mcd 35° RED/DIFFUSED</t>
  </si>
  <si>
    <t>IC-8L051 MCU 8BIT 8K FLASH TSSOP20</t>
  </si>
  <si>
    <t>IC-78L33 VOLTAGE REGULATOR 3.3V 100mA SOT89 ST</t>
  </si>
  <si>
    <t>BUZZER PIEZO W/O CIRCUIT 9V 4-KHZ THT</t>
  </si>
  <si>
    <t>MLCC (2012) 0805 100nF 50VDC ±10% X7R</t>
  </si>
  <si>
    <t>MLCC (2012) 0805 4.7uF 50VDC ±10% X5R</t>
  </si>
  <si>
    <t>RES.(2012) 0805 2.21K/2.2K Ohms 1%/5% 1/8W-S 100PPM</t>
  </si>
  <si>
    <t>General Purpose Relay DPDT (2 Form C) 5VDC Coil Through Hole</t>
  </si>
  <si>
    <t>DIODE U.FAST SINGLE 1A 200V DO214AC (SMA) SMT</t>
  </si>
  <si>
    <t>TRANSISTOR DIS.500mA 45V NPN SOT23 GEN. SMT</t>
  </si>
  <si>
    <t>LED DISTANCE SPACER 12.00mm NONE Ø5.00mm</t>
  </si>
  <si>
    <t>SWITCH SLIDE 1P2T 500mA 50V On-On THT V/T</t>
  </si>
  <si>
    <t>TRIMPOT CARBON V 6MM 10K</t>
  </si>
  <si>
    <t>RES.(3225) 1210 1.2K Ohms 5% 1/2W 200PPM</t>
  </si>
  <si>
    <t>TERM.BLK.3.50MM 11P PCB TYPE GRAY GAOSONG</t>
  </si>
  <si>
    <t>Footprint</t>
  </si>
  <si>
    <t>DIONM5127X250N</t>
  </si>
  <si>
    <t>ERZV05D180</t>
  </si>
  <si>
    <t>led 3mm</t>
  </si>
  <si>
    <t>SOP65P640X120-20N</t>
  </si>
  <si>
    <t>SOT89M</t>
  </si>
  <si>
    <t>piezo buzzer</t>
  </si>
  <si>
    <t>C0805-N</t>
  </si>
  <si>
    <t>JW2SNDC5V</t>
  </si>
  <si>
    <t>SMA</t>
  </si>
  <si>
    <t>SOT-23</t>
  </si>
  <si>
    <t>Slide Switch</t>
  </si>
  <si>
    <t>Potentiometer</t>
  </si>
  <si>
    <t>C1210</t>
  </si>
  <si>
    <t>11 pin Terminal sping loaded</t>
  </si>
  <si>
    <t>Manufacturer</t>
  </si>
  <si>
    <t>YAGEO / MDD(Microdiode Semiconductor)</t>
  </si>
  <si>
    <t>THINKING</t>
  </si>
  <si>
    <t>STRONG BASE</t>
  </si>
  <si>
    <t>STMicroelectronics</t>
  </si>
  <si>
    <t>STM</t>
  </si>
  <si>
    <t>SANCO / YXDZ</t>
  </si>
  <si>
    <t>SAMSUNG</t>
  </si>
  <si>
    <t>ROYALOHM</t>
  </si>
  <si>
    <t>Panasonic</t>
  </si>
  <si>
    <t>ON Semiconductor /  MDD(Microdiode Semiconductor)</t>
  </si>
  <si>
    <t>NXP</t>
  </si>
  <si>
    <t>KLS ELECTRONIC</t>
  </si>
  <si>
    <t>HOTTECH</t>
  </si>
  <si>
    <t>DEGSON/GAOSONG</t>
  </si>
  <si>
    <t>Manufacturer Part Number</t>
  </si>
  <si>
    <t>ComponentLink1Description</t>
  </si>
  <si>
    <t>Datasheet link</t>
  </si>
  <si>
    <t>#Column Name Error:' GentekPN</t>
  </si>
  <si>
    <t>Quantity</t>
  </si>
  <si>
    <t>C:\Users\byali\OneDrive\Desktop\1.Hardware\1.ProjectsHW\2.WaterAlarm\WaterAlarm-hardware\V1.1\PROJECT\WATERALARM_V1.1.PrjPcb</t>
  </si>
  <si>
    <t>27.02.2026 08:58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</si>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</sst>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sz val="10"/>
      <color rgb="FFFFFF00"/>
      <name val="Arial"/>
      <family val="2"/>
    </font>
    <font>
      <b/>
      <sz val="12"/>
      <color rgb="FFFFFF00"/>
      <name val="Arial"/>
      <family val="2"/>
    </font>
    <font>
      <b/>
      <sz val="8"/>
      <color rgb="FFFFFF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9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4" fillId="4" borderId="0" xfId="0" applyFont="1" applyFill="1"/>
    <xf numFmtId="0" fontId="14" fillId="4" borderId="5" xfId="0" applyFont="1" applyFill="1" applyBorder="1"/>
    <xf numFmtId="0" fontId="14" fillId="4" borderId="1" xfId="0" applyFont="1" applyFill="1" applyBorder="1"/>
    <xf numFmtId="0" fontId="14" fillId="4" borderId="2" xfId="0" applyFont="1" applyFill="1" applyBorder="1"/>
    <xf numFmtId="0" fontId="14" fillId="4" borderId="8" xfId="0" applyFont="1" applyFill="1" applyBorder="1"/>
    <xf numFmtId="0" fontId="15" fillId="4" borderId="7" xfId="0" applyFont="1" applyFill="1" applyBorder="1" applyAlignment="1">
      <alignment vertical="center"/>
    </xf>
    <xf numFmtId="0" fontId="14" fillId="4" borderId="9" xfId="0" applyFont="1" applyFill="1" applyBorder="1"/>
    <xf numFmtId="0" fontId="16" fillId="4" borderId="11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vertical="top" wrapText="1"/>
    </xf>
    <xf numFmtId="0" fontId="4" fillId="5" borderId="18" xfId="0" applyFont="1" applyFill="1" applyBorder="1" applyAlignment="1">
      <alignment vertical="top" wrapText="1"/>
    </xf>
    <xf numFmtId="0" fontId="4" fillId="5" borderId="20" xfId="0" applyFont="1" applyFill="1" applyBorder="1" applyAlignment="1">
      <alignment vertical="top" wrapText="1"/>
    </xf>
    <xf numFmtId="2" fontId="4" fillId="5" borderId="20" xfId="0" applyNumberFormat="1" applyFont="1" applyFill="1" applyBorder="1" applyAlignment="1">
      <alignment vertical="top" wrapText="1"/>
    </xf>
    <xf numFmtId="0" fontId="4" fillId="5" borderId="21" xfId="0" applyFont="1" applyFill="1" applyBorder="1" applyAlignment="1">
      <alignment horizontal="right" vertical="top" wrapText="1"/>
    </xf>
    <xf numFmtId="0" fontId="4" fillId="6" borderId="23" xfId="0" applyFont="1" applyFill="1" applyBorder="1" applyAlignment="1">
      <alignment vertical="top" wrapText="1"/>
    </xf>
    <xf numFmtId="0" fontId="4" fillId="6" borderId="25" xfId="0" applyFont="1" applyFill="1" applyBorder="1" applyAlignment="1">
      <alignment vertical="top" wrapText="1"/>
    </xf>
    <xf numFmtId="2" fontId="4" fillId="6" borderId="25" xfId="0" applyNumberFormat="1" applyFont="1" applyFill="1" applyBorder="1" applyAlignment="1">
      <alignment vertical="top" wrapText="1"/>
    </xf>
    <xf numFmtId="0" fontId="4" fillId="6" borderId="27" xfId="0" applyFont="1" applyFill="1" applyBorder="1" applyAlignment="1">
      <alignment vertical="top" wrapText="1"/>
    </xf>
    <xf numFmtId="0" fontId="8" fillId="7" borderId="14" xfId="0" applyFont="1" applyFill="1" applyBorder="1" applyAlignment="1">
      <alignment vertical="center"/>
    </xf>
    <xf numFmtId="0" fontId="8" fillId="7" borderId="15" xfId="0" applyFont="1" applyFill="1" applyBorder="1" applyAlignment="1">
      <alignment vertical="center"/>
    </xf>
    <xf numFmtId="0" fontId="5" fillId="7" borderId="0" xfId="0" applyFont="1" applyFill="1"/>
    <xf numFmtId="0" fontId="6" fillId="7" borderId="0" xfId="0" applyFont="1" applyFill="1" applyAlignment="1">
      <alignment horizontal="left"/>
    </xf>
    <xf numFmtId="0" fontId="5" fillId="7" borderId="13" xfId="0" applyFont="1" applyFill="1" applyBorder="1"/>
    <xf numFmtId="0" fontId="5" fillId="7" borderId="13" xfId="0" applyFont="1" applyFill="1" applyBorder="1" applyAlignment="1">
      <alignment horizontal="left"/>
    </xf>
    <xf numFmtId="0" fontId="7" fillId="7" borderId="0" xfId="0" applyFont="1" applyFill="1"/>
    <xf numFmtId="0" fontId="6" fillId="7" borderId="13" xfId="0" applyFont="1" applyFill="1" applyBorder="1"/>
    <xf numFmtId="164" fontId="6" fillId="7" borderId="13" xfId="0" applyNumberFormat="1" applyFont="1" applyFill="1" applyBorder="1" applyAlignment="1">
      <alignment horizontal="left"/>
    </xf>
    <xf numFmtId="0" fontId="6" fillId="7" borderId="5" xfId="0" applyFont="1" applyFill="1" applyBorder="1"/>
    <xf numFmtId="0" fontId="6" fillId="7" borderId="0" xfId="0" applyFont="1" applyFill="1"/>
    <xf numFmtId="0" fontId="6" fillId="7" borderId="13" xfId="0" applyFont="1" applyFill="1" applyBorder="1" applyAlignment="1">
      <alignment horizontal="left"/>
    </xf>
    <xf numFmtId="0" fontId="5" fillId="7" borderId="5" xfId="0" applyFont="1" applyFill="1" applyBorder="1"/>
    <xf numFmtId="165" fontId="6" fillId="7" borderId="13" xfId="0" applyNumberFormat="1" applyFont="1" applyFill="1" applyBorder="1" applyAlignment="1">
      <alignment horizontal="left"/>
    </xf>
    <xf numFmtId="0" fontId="12" fillId="7" borderId="13" xfId="0" applyFont="1" applyFill="1" applyBorder="1" applyAlignment="1" applyProtection="1">
      <alignment horizontal="left" vertical="top"/>
      <protection locked="0"/>
    </xf>
    <xf numFmtId="0" fontId="1" fillId="7" borderId="12" xfId="0" applyFont="1" applyFill="1" applyBorder="1" applyAlignment="1" applyProtection="1">
      <alignment horizontal="left" vertical="top"/>
      <protection locked="0"/>
    </xf>
    <xf numFmtId="0" fontId="1" fillId="7" borderId="26" xfId="0" applyFont="1" applyFill="1" applyBorder="1" applyAlignment="1" applyProtection="1">
      <alignment horizontal="left" vertical="top"/>
      <protection locked="0"/>
    </xf>
    <xf numFmtId="0" fontId="12" fillId="7" borderId="0" xfId="0" applyFont="1" applyFill="1" applyAlignment="1" applyProtection="1">
      <alignment horizontal="left" vertical="top"/>
      <protection locked="0"/>
    </xf>
    <xf numFmtId="0" fontId="0" fillId="7" borderId="0" xfId="0" applyFill="1" applyAlignment="1">
      <alignment vertical="top"/>
    </xf>
    <xf numFmtId="0" fontId="1" fillId="7" borderId="0" xfId="0" applyFont="1" applyFill="1" applyAlignment="1" applyProtection="1">
      <alignment vertical="top"/>
      <protection locked="0"/>
    </xf>
    <xf numFmtId="0" fontId="1" fillId="7" borderId="0" xfId="0" applyFont="1" applyFill="1" applyAlignment="1" applyProtection="1">
      <alignment horizontal="left" vertical="top"/>
      <protection locked="0"/>
    </xf>
    <xf numFmtId="0" fontId="1" fillId="7" borderId="3" xfId="0" applyFont="1" applyFill="1" applyBorder="1" applyAlignment="1" applyProtection="1">
      <alignment horizontal="left" vertical="top"/>
      <protection locked="0"/>
    </xf>
    <xf numFmtId="0" fontId="1" fillId="7" borderId="2" xfId="0" applyFont="1" applyFill="1" applyBorder="1" applyAlignment="1" applyProtection="1">
      <alignment horizontal="left" vertical="top"/>
      <protection locked="0"/>
    </xf>
    <xf numFmtId="0" fontId="1" fillId="7" borderId="8" xfId="0" applyFont="1" applyFill="1" applyBorder="1" applyAlignment="1" applyProtection="1">
      <alignment vertical="top"/>
      <protection locked="0"/>
    </xf>
    <xf numFmtId="0" fontId="1" fillId="7" borderId="4" xfId="0" applyFont="1" applyFill="1" applyBorder="1" applyAlignment="1" applyProtection="1">
      <alignment horizontal="left" vertical="top"/>
      <protection locked="0"/>
    </xf>
    <xf numFmtId="0" fontId="1" fillId="7" borderId="5" xfId="0" applyFont="1" applyFill="1" applyBorder="1" applyAlignment="1" applyProtection="1">
      <alignment vertical="top"/>
      <protection locked="0"/>
    </xf>
    <xf numFmtId="0" fontId="1" fillId="7" borderId="17" xfId="0" applyFont="1" applyFill="1" applyBorder="1" applyAlignment="1" applyProtection="1">
      <alignment vertical="top"/>
      <protection locked="0"/>
    </xf>
    <xf numFmtId="0" fontId="1" fillId="7" borderId="7" xfId="0" applyFont="1" applyFill="1" applyBorder="1" applyAlignment="1" applyProtection="1">
      <alignment vertical="top"/>
      <protection locked="0"/>
    </xf>
    <xf numFmtId="0" fontId="1" fillId="7" borderId="6" xfId="0" applyFont="1" applyFill="1" applyBorder="1" applyAlignment="1" applyProtection="1">
      <alignment horizontal="left" vertical="top"/>
      <protection locked="0"/>
    </xf>
    <xf numFmtId="0" fontId="1" fillId="7" borderId="7" xfId="0" applyFont="1" applyFill="1" applyBorder="1" applyAlignment="1" applyProtection="1">
      <alignment horizontal="left" vertical="top"/>
      <protection locked="0"/>
    </xf>
    <xf numFmtId="0" fontId="1" fillId="7" borderId="9" xfId="0" applyFont="1" applyFill="1" applyBorder="1" applyAlignment="1" applyProtection="1">
      <alignment vertical="top"/>
      <protection locked="0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left" vertical="top"/>
    </xf>
    <xf numFmtId="0" fontId="15" fillId="4" borderId="7" xfId="0" quotePrefix="1" applyFont="1" applyFill="1" applyBorder="1" applyAlignment="1">
      <alignment vertical="center"/>
    </xf>
    <xf numFmtId="0" fontId="5" fillId="7" borderId="0" xfId="0" quotePrefix="1" applyFont="1" applyFill="1" applyAlignment="1">
      <alignment horizontal="left"/>
    </xf>
    <xf numFmtId="0" fontId="5" fillId="7" borderId="12" xfId="0" quotePrefix="1" applyFont="1" applyFill="1" applyBorder="1" applyAlignment="1">
      <alignment horizontal="left"/>
    </xf>
    <xf numFmtId="0" fontId="5" fillId="7" borderId="13" xfId="0" quotePrefix="1" applyFont="1" applyFill="1" applyBorder="1" applyAlignment="1">
      <alignment horizontal="left"/>
    </xf>
    <xf numFmtId="0" fontId="6" fillId="7" borderId="2" xfId="0" quotePrefix="1" applyFont="1" applyFill="1" applyBorder="1" applyAlignment="1">
      <alignment horizontal="left"/>
    </xf>
    <xf numFmtId="0" fontId="11" fillId="7" borderId="24" xfId="0" quotePrefix="1" applyFont="1" applyFill="1" applyBorder="1" applyAlignment="1">
      <alignment vertical="top" wrapText="1"/>
    </xf>
    <xf numFmtId="0" fontId="10" fillId="3" borderId="16" xfId="0" quotePrefix="1" applyFont="1" applyFill="1" applyBorder="1" applyAlignment="1">
      <alignment horizontal="left" vertical="center"/>
    </xf>
    <xf numFmtId="0" fontId="10" fillId="2" borderId="0" xfId="0" quotePrefix="1" applyFont="1" applyFill="1" applyAlignment="1">
      <alignment horizontal="left" vertical="center"/>
    </xf>
    <xf numFmtId="0" fontId="10" fillId="3" borderId="0" xfId="0" quotePrefix="1" applyFont="1" applyFill="1" applyAlignment="1">
      <alignment horizontal="left" vertical="center"/>
    </xf>
    <xf numFmtId="0" fontId="12" fillId="7" borderId="28" xfId="0" applyFont="1" applyFill="1" applyBorder="1" applyAlignment="1" applyProtection="1">
      <alignment horizontal="left" vertical="top"/>
      <protection locked="0"/>
    </xf>
    <xf numFmtId="0" fontId="12" fillId="7" borderId="13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30</xdr:row>
      <xdr:rowOff>97491</xdr:rowOff>
    </xdr:from>
    <xdr:to>
      <xdr:col>2</xdr:col>
      <xdr:colOff>1504950</xdr:colOff>
      <xdr:row>37</xdr:row>
      <xdr:rowOff>40052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F55D73F-10E2-4137-905E-448B023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3431241"/>
          <a:ext cx="1964391" cy="1085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showGridLines="0" tabSelected="1" zoomScaleNormal="100" workbookViewId="0">
      <selection activeCell="L2" sqref="H2:L2"/>
    </sheetView>
  </sheetViews>
  <sheetFormatPr defaultRowHeight="12.75" x14ac:dyDescent="0.2"/>
  <cols>
    <col min="1" max="1" width="3.140625" style="1" customWidth="1"/>
    <col min="2" max="2" width="5.42578125" style="1" customWidth="1"/>
    <col min="3" max="8" width="28.7109375" style="4" customWidth="1"/>
    <col min="9" max="9" width="21.42578125" style="4" customWidth="1"/>
    <col min="10" max="10" width="20.140625" style="1" customWidth="1"/>
    <col min="11" max="11" width="16.7109375" style="1" bestFit="1" customWidth="1"/>
    <col min="12" max="12" width="16.28515625" style="1" customWidth="1"/>
    <col min="13" max="16384" width="9.140625" style="1"/>
  </cols>
  <sheetData>
    <row r="1" spans="1:12" ht="13.5" thickBot="1" x14ac:dyDescent="0.25">
      <c r="A1" s="7"/>
      <c r="B1" s="7"/>
      <c r="C1" s="9"/>
      <c r="D1" s="9"/>
      <c r="E1" s="9"/>
      <c r="F1" s="9"/>
      <c r="G1" s="9"/>
      <c r="H1" s="9"/>
      <c r="I1" s="9"/>
      <c r="J1" s="10"/>
      <c r="K1" s="10"/>
      <c r="L1" s="11"/>
    </row>
    <row r="2" spans="1:12" ht="37.5" customHeight="1" thickBot="1" x14ac:dyDescent="0.25">
      <c r="A2" s="8"/>
      <c r="B2" s="26"/>
      <c r="C2" s="26" t="s">
        <v>19</v>
      </c>
      <c r="D2" s="26"/>
      <c r="E2" s="26"/>
      <c r="F2" s="26"/>
      <c r="G2" s="26"/>
      <c r="H2" s="26"/>
      <c r="I2" s="27"/>
      <c r="J2" s="59" t="s">
        <v>24</v>
      </c>
      <c r="K2" s="12"/>
      <c r="L2" s="13"/>
    </row>
    <row r="3" spans="1:12" ht="23.25" customHeight="1" x14ac:dyDescent="0.2">
      <c r="A3" s="8"/>
      <c r="B3" s="28"/>
      <c r="C3" s="28" t="s">
        <v>14</v>
      </c>
      <c r="D3" s="28"/>
      <c r="E3" s="28"/>
      <c r="F3" s="28"/>
      <c r="G3" s="28"/>
      <c r="H3" s="28"/>
      <c r="I3" s="29"/>
      <c r="J3" s="60" t="s">
        <v>25</v>
      </c>
      <c r="K3" s="28"/>
      <c r="L3" s="35"/>
    </row>
    <row r="4" spans="1:12" ht="17.25" customHeight="1" x14ac:dyDescent="0.2">
      <c r="A4" s="8"/>
      <c r="B4" s="28"/>
      <c r="C4" s="28" t="s">
        <v>15</v>
      </c>
      <c r="D4" s="28"/>
      <c r="E4" s="28"/>
      <c r="F4" s="28"/>
      <c r="G4" s="28"/>
      <c r="H4" s="28"/>
      <c r="I4" s="29"/>
      <c r="J4" s="61" t="s">
        <v>25</v>
      </c>
      <c r="K4" s="36"/>
      <c r="L4" s="35"/>
    </row>
    <row r="5" spans="1:12" ht="17.25" customHeight="1" x14ac:dyDescent="0.2">
      <c r="A5" s="8"/>
      <c r="B5" s="28"/>
      <c r="C5" s="28" t="s">
        <v>16</v>
      </c>
      <c r="D5" s="28"/>
      <c r="E5" s="28"/>
      <c r="F5" s="28"/>
      <c r="G5" s="28"/>
      <c r="H5" s="28"/>
      <c r="I5" s="29"/>
      <c r="J5" s="62" t="s">
        <v>26</v>
      </c>
      <c r="K5" s="36"/>
      <c r="L5" s="35"/>
    </row>
    <row r="6" spans="1:12" x14ac:dyDescent="0.2">
      <c r="A6" s="8"/>
      <c r="B6" s="30"/>
      <c r="C6" s="30"/>
      <c r="D6" s="30"/>
      <c r="E6" s="30"/>
      <c r="F6" s="30"/>
      <c r="G6" s="30"/>
      <c r="H6" s="30"/>
      <c r="I6" s="31"/>
      <c r="J6" s="37"/>
      <c r="K6" s="36"/>
      <c r="L6" s="38"/>
    </row>
    <row r="7" spans="1:12" ht="15.75" customHeight="1" x14ac:dyDescent="0.2">
      <c r="A7" s="8"/>
      <c r="B7" s="32"/>
      <c r="C7" s="32" t="s">
        <v>18</v>
      </c>
      <c r="D7" s="32"/>
      <c r="E7" s="32"/>
      <c r="F7" s="32"/>
      <c r="G7" s="32"/>
      <c r="H7" s="32"/>
      <c r="I7" s="63" t="s">
        <v>27</v>
      </c>
      <c r="J7" s="63" t="s">
        <v>28</v>
      </c>
      <c r="K7" s="32"/>
      <c r="L7" s="35"/>
    </row>
    <row r="8" spans="1:12" ht="15.75" customHeight="1" x14ac:dyDescent="0.2">
      <c r="A8" s="8"/>
      <c r="B8" s="33"/>
      <c r="C8" s="33" t="s">
        <v>17</v>
      </c>
      <c r="D8" s="33"/>
      <c r="E8" s="33"/>
      <c r="F8" s="33"/>
      <c r="G8" s="33"/>
      <c r="H8" s="33"/>
      <c r="I8" s="34">
        <f ca="1">TODAY()</f>
        <v>46080</v>
      </c>
      <c r="J8" s="39">
        <f ca="1">NOW()</f>
        <v>46080.374127777781</v>
      </c>
      <c r="K8" s="32"/>
      <c r="L8" s="35"/>
    </row>
    <row r="9" spans="1:12" s="2" customFormat="1" ht="18" customHeight="1" x14ac:dyDescent="0.2">
      <c r="A9" s="8"/>
      <c r="B9" s="15" t="s">
        <v>22</v>
      </c>
      <c r="C9" s="16" t="s">
        <v>30</v>
      </c>
      <c r="D9" s="16" t="s">
        <v>48</v>
      </c>
      <c r="E9" s="16" t="s">
        <v>49</v>
      </c>
      <c r="F9" s="16" t="s">
        <v>67</v>
      </c>
      <c r="G9" s="16" t="s">
        <v>85</v>
      </c>
      <c r="H9" s="16" t="s">
        <v>100</v>
      </c>
      <c r="I9" s="16" t="s">
        <v>115</v>
      </c>
      <c r="J9" s="16" t="s">
        <v>116</v>
      </c>
      <c r="K9" s="16" t="s">
        <v>118</v>
      </c>
      <c r="L9" s="14" t="s">
        <v>119</v>
      </c>
    </row>
    <row r="10" spans="1:12" s="3" customFormat="1" ht="13.5" customHeight="1" x14ac:dyDescent="0.2">
      <c r="A10" s="8"/>
      <c r="B10" s="17">
        <f t="shared" ref="B10:B26" si="0">ROW(B10) - ROW($B$9)</f>
        <v>1</v>
      </c>
      <c r="C10" s="18" t="s">
        <v>31</v>
      </c>
      <c r="D10" s="18" t="s">
        <v>48</v>
      </c>
      <c r="E10" s="18" t="s">
        <v>50</v>
      </c>
      <c r="F10" s="18" t="s">
        <v>68</v>
      </c>
      <c r="G10" s="18" t="s">
        <v>86</v>
      </c>
      <c r="H10" s="18" t="s">
        <v>101</v>
      </c>
      <c r="I10" s="19" t="s">
        <v>50</v>
      </c>
      <c r="J10" s="19"/>
      <c r="K10" s="20"/>
      <c r="L10" s="21">
        <v>1</v>
      </c>
    </row>
    <row r="11" spans="1:12" s="3" customFormat="1" ht="13.5" customHeight="1" x14ac:dyDescent="0.2">
      <c r="A11" s="8"/>
      <c r="B11" s="22">
        <f t="shared" si="0"/>
        <v>2</v>
      </c>
      <c r="C11" s="23" t="s">
        <v>32</v>
      </c>
      <c r="D11" s="23" t="s">
        <v>48</v>
      </c>
      <c r="E11" s="23" t="s">
        <v>51</v>
      </c>
      <c r="F11" s="23" t="s">
        <v>69</v>
      </c>
      <c r="G11" s="23" t="s">
        <v>87</v>
      </c>
      <c r="H11" s="23" t="s">
        <v>102</v>
      </c>
      <c r="I11" s="23" t="s">
        <v>51</v>
      </c>
      <c r="J11" s="23"/>
      <c r="K11" s="24"/>
      <c r="L11" s="25">
        <v>1</v>
      </c>
    </row>
    <row r="12" spans="1:12" s="3" customFormat="1" ht="13.5" customHeight="1" x14ac:dyDescent="0.2">
      <c r="A12" s="8"/>
      <c r="B12" s="17">
        <f t="shared" si="0"/>
        <v>3</v>
      </c>
      <c r="C12" s="18" t="s">
        <v>33</v>
      </c>
      <c r="D12" s="18" t="s">
        <v>48</v>
      </c>
      <c r="E12" s="18" t="s">
        <v>52</v>
      </c>
      <c r="F12" s="18" t="s">
        <v>70</v>
      </c>
      <c r="G12" s="18" t="s">
        <v>88</v>
      </c>
      <c r="H12" s="18" t="s">
        <v>103</v>
      </c>
      <c r="I12" s="19" t="s">
        <v>52</v>
      </c>
      <c r="J12" s="19"/>
      <c r="K12" s="20"/>
      <c r="L12" s="21">
        <v>3</v>
      </c>
    </row>
    <row r="13" spans="1:12" s="3" customFormat="1" ht="13.5" customHeight="1" x14ac:dyDescent="0.2">
      <c r="A13" s="8"/>
      <c r="B13" s="22">
        <f t="shared" si="0"/>
        <v>4</v>
      </c>
      <c r="C13" s="23" t="s">
        <v>34</v>
      </c>
      <c r="D13" s="23" t="s">
        <v>48</v>
      </c>
      <c r="E13" s="23" t="s">
        <v>53</v>
      </c>
      <c r="F13" s="23" t="s">
        <v>71</v>
      </c>
      <c r="G13" s="23" t="s">
        <v>89</v>
      </c>
      <c r="H13" s="23" t="s">
        <v>104</v>
      </c>
      <c r="I13" s="23" t="s">
        <v>53</v>
      </c>
      <c r="J13" s="23"/>
      <c r="K13" s="24"/>
      <c r="L13" s="25">
        <v>1</v>
      </c>
    </row>
    <row r="14" spans="1:12" s="3" customFormat="1" ht="13.5" customHeight="1" x14ac:dyDescent="0.2">
      <c r="A14" s="8"/>
      <c r="B14" s="17">
        <f t="shared" si="0"/>
        <v>5</v>
      </c>
      <c r="C14" s="18" t="s">
        <v>35</v>
      </c>
      <c r="D14" s="18" t="s">
        <v>48</v>
      </c>
      <c r="E14" s="18" t="s">
        <v>54</v>
      </c>
      <c r="F14" s="18" t="s">
        <v>72</v>
      </c>
      <c r="G14" s="18" t="s">
        <v>90</v>
      </c>
      <c r="H14" s="18" t="s">
        <v>105</v>
      </c>
      <c r="I14" s="19" t="s">
        <v>54</v>
      </c>
      <c r="J14" s="19"/>
      <c r="K14" s="20"/>
      <c r="L14" s="21">
        <v>1</v>
      </c>
    </row>
    <row r="15" spans="1:12" s="3" customFormat="1" ht="13.5" customHeight="1" x14ac:dyDescent="0.2">
      <c r="A15" s="8"/>
      <c r="B15" s="22">
        <f t="shared" si="0"/>
        <v>6</v>
      </c>
      <c r="C15" s="23" t="s">
        <v>36</v>
      </c>
      <c r="D15" s="23" t="s">
        <v>48</v>
      </c>
      <c r="E15" s="23" t="s">
        <v>55</v>
      </c>
      <c r="F15" s="23" t="s">
        <v>73</v>
      </c>
      <c r="G15" s="23" t="s">
        <v>91</v>
      </c>
      <c r="H15" s="23" t="s">
        <v>106</v>
      </c>
      <c r="I15" s="23" t="s">
        <v>55</v>
      </c>
      <c r="J15" s="23"/>
      <c r="K15" s="24"/>
      <c r="L15" s="25">
        <v>1</v>
      </c>
    </row>
    <row r="16" spans="1:12" s="3" customFormat="1" ht="13.5" customHeight="1" x14ac:dyDescent="0.2">
      <c r="A16" s="8"/>
      <c r="B16" s="17">
        <f t="shared" si="0"/>
        <v>7</v>
      </c>
      <c r="C16" s="18" t="s">
        <v>37</v>
      </c>
      <c r="D16" s="18" t="s">
        <v>48</v>
      </c>
      <c r="E16" s="18" t="s">
        <v>56</v>
      </c>
      <c r="F16" s="18" t="s">
        <v>74</v>
      </c>
      <c r="G16" s="18" t="s">
        <v>92</v>
      </c>
      <c r="H16" s="18" t="s">
        <v>107</v>
      </c>
      <c r="I16" s="19" t="s">
        <v>56</v>
      </c>
      <c r="J16" s="19"/>
      <c r="K16" s="20"/>
      <c r="L16" s="21">
        <v>3</v>
      </c>
    </row>
    <row r="17" spans="1:12" s="3" customFormat="1" ht="13.5" customHeight="1" x14ac:dyDescent="0.2">
      <c r="A17" s="8"/>
      <c r="B17" s="22">
        <f t="shared" si="0"/>
        <v>8</v>
      </c>
      <c r="C17" s="23" t="s">
        <v>38</v>
      </c>
      <c r="D17" s="23" t="s">
        <v>48</v>
      </c>
      <c r="E17" s="23" t="s">
        <v>57</v>
      </c>
      <c r="F17" s="23" t="s">
        <v>75</v>
      </c>
      <c r="G17" s="23" t="s">
        <v>92</v>
      </c>
      <c r="H17" s="23" t="s">
        <v>107</v>
      </c>
      <c r="I17" s="23" t="s">
        <v>57</v>
      </c>
      <c r="J17" s="23"/>
      <c r="K17" s="24"/>
      <c r="L17" s="25">
        <v>3</v>
      </c>
    </row>
    <row r="18" spans="1:12" s="3" customFormat="1" ht="13.5" customHeight="1" x14ac:dyDescent="0.2">
      <c r="A18" s="8"/>
      <c r="B18" s="17">
        <f t="shared" si="0"/>
        <v>9</v>
      </c>
      <c r="C18" s="18" t="s">
        <v>39</v>
      </c>
      <c r="D18" s="18" t="s">
        <v>48</v>
      </c>
      <c r="E18" s="18" t="s">
        <v>58</v>
      </c>
      <c r="F18" s="18" t="s">
        <v>76</v>
      </c>
      <c r="G18" s="18" t="s">
        <v>92</v>
      </c>
      <c r="H18" s="18" t="s">
        <v>108</v>
      </c>
      <c r="I18" s="19" t="s">
        <v>58</v>
      </c>
      <c r="J18" s="19"/>
      <c r="K18" s="20"/>
      <c r="L18" s="21">
        <v>2</v>
      </c>
    </row>
    <row r="19" spans="1:12" s="3" customFormat="1" ht="13.5" customHeight="1" x14ac:dyDescent="0.2">
      <c r="A19" s="8"/>
      <c r="B19" s="22">
        <f t="shared" si="0"/>
        <v>10</v>
      </c>
      <c r="C19" s="23" t="s">
        <v>40</v>
      </c>
      <c r="D19" s="23" t="s">
        <v>48</v>
      </c>
      <c r="E19" s="23" t="s">
        <v>59</v>
      </c>
      <c r="F19" s="23" t="s">
        <v>77</v>
      </c>
      <c r="G19" s="23" t="s">
        <v>93</v>
      </c>
      <c r="H19" s="23" t="s">
        <v>109</v>
      </c>
      <c r="I19" s="23" t="s">
        <v>59</v>
      </c>
      <c r="J19" s="23"/>
      <c r="K19" s="24"/>
      <c r="L19" s="25">
        <v>1</v>
      </c>
    </row>
    <row r="20" spans="1:12" s="3" customFormat="1" ht="13.5" customHeight="1" x14ac:dyDescent="0.2">
      <c r="A20" s="8"/>
      <c r="B20" s="17">
        <f t="shared" si="0"/>
        <v>11</v>
      </c>
      <c r="C20" s="18" t="s">
        <v>41</v>
      </c>
      <c r="D20" s="18" t="s">
        <v>48</v>
      </c>
      <c r="E20" s="18" t="s">
        <v>60</v>
      </c>
      <c r="F20" s="18" t="s">
        <v>78</v>
      </c>
      <c r="G20" s="18" t="s">
        <v>94</v>
      </c>
      <c r="H20" s="18" t="s">
        <v>110</v>
      </c>
      <c r="I20" s="19" t="s">
        <v>60</v>
      </c>
      <c r="J20" s="19" t="s">
        <v>117</v>
      </c>
      <c r="K20" s="20"/>
      <c r="L20" s="21">
        <v>3</v>
      </c>
    </row>
    <row r="21" spans="1:12" s="3" customFormat="1" ht="13.5" customHeight="1" x14ac:dyDescent="0.2">
      <c r="A21" s="8"/>
      <c r="B21" s="22">
        <f t="shared" si="0"/>
        <v>12</v>
      </c>
      <c r="C21" s="23" t="s">
        <v>42</v>
      </c>
      <c r="D21" s="23" t="s">
        <v>48</v>
      </c>
      <c r="E21" s="23" t="s">
        <v>61</v>
      </c>
      <c r="F21" s="23" t="s">
        <v>79</v>
      </c>
      <c r="G21" s="23" t="s">
        <v>95</v>
      </c>
      <c r="H21" s="23" t="s">
        <v>111</v>
      </c>
      <c r="I21" s="23" t="s">
        <v>61</v>
      </c>
      <c r="J21" s="23"/>
      <c r="K21" s="24"/>
      <c r="L21" s="25">
        <v>2</v>
      </c>
    </row>
    <row r="22" spans="1:12" s="3" customFormat="1" ht="13.5" customHeight="1" x14ac:dyDescent="0.2">
      <c r="A22" s="8"/>
      <c r="B22" s="17">
        <f t="shared" si="0"/>
        <v>13</v>
      </c>
      <c r="C22" s="18" t="s">
        <v>43</v>
      </c>
      <c r="D22" s="18" t="s">
        <v>48</v>
      </c>
      <c r="E22" s="18" t="s">
        <v>62</v>
      </c>
      <c r="F22" s="18" t="s">
        <v>80</v>
      </c>
      <c r="G22" s="18"/>
      <c r="H22" s="18" t="s">
        <v>112</v>
      </c>
      <c r="I22" s="19" t="s">
        <v>62</v>
      </c>
      <c r="J22" s="19"/>
      <c r="K22" s="20"/>
      <c r="L22" s="21">
        <v>3</v>
      </c>
    </row>
    <row r="23" spans="1:12" s="3" customFormat="1" ht="13.5" customHeight="1" x14ac:dyDescent="0.2">
      <c r="A23" s="8"/>
      <c r="B23" s="22">
        <f t="shared" si="0"/>
        <v>14</v>
      </c>
      <c r="C23" s="23" t="s">
        <v>44</v>
      </c>
      <c r="D23" s="23" t="s">
        <v>48</v>
      </c>
      <c r="E23" s="23" t="s">
        <v>63</v>
      </c>
      <c r="F23" s="23" t="s">
        <v>81</v>
      </c>
      <c r="G23" s="23" t="s">
        <v>96</v>
      </c>
      <c r="H23" s="23" t="s">
        <v>112</v>
      </c>
      <c r="I23" s="23" t="s">
        <v>63</v>
      </c>
      <c r="J23" s="23"/>
      <c r="K23" s="24"/>
      <c r="L23" s="25">
        <v>1</v>
      </c>
    </row>
    <row r="24" spans="1:12" s="3" customFormat="1" ht="13.5" customHeight="1" x14ac:dyDescent="0.2">
      <c r="A24" s="8"/>
      <c r="B24" s="17">
        <f t="shared" si="0"/>
        <v>15</v>
      </c>
      <c r="C24" s="18" t="s">
        <v>45</v>
      </c>
      <c r="D24" s="18" t="s">
        <v>48</v>
      </c>
      <c r="E24" s="18" t="s">
        <v>64</v>
      </c>
      <c r="F24" s="18" t="s">
        <v>82</v>
      </c>
      <c r="G24" s="18" t="s">
        <v>97</v>
      </c>
      <c r="H24" s="18" t="s">
        <v>112</v>
      </c>
      <c r="I24" s="19" t="s">
        <v>64</v>
      </c>
      <c r="J24" s="19"/>
      <c r="K24" s="20"/>
      <c r="L24" s="21">
        <v>1</v>
      </c>
    </row>
    <row r="25" spans="1:12" s="3" customFormat="1" ht="13.5" customHeight="1" x14ac:dyDescent="0.2">
      <c r="A25" s="8"/>
      <c r="B25" s="22">
        <f t="shared" si="0"/>
        <v>16</v>
      </c>
      <c r="C25" s="23" t="s">
        <v>46</v>
      </c>
      <c r="D25" s="23" t="s">
        <v>48</v>
      </c>
      <c r="E25" s="23" t="s">
        <v>65</v>
      </c>
      <c r="F25" s="23" t="s">
        <v>83</v>
      </c>
      <c r="G25" s="23" t="s">
        <v>98</v>
      </c>
      <c r="H25" s="23" t="s">
        <v>113</v>
      </c>
      <c r="I25" s="23" t="s">
        <v>65</v>
      </c>
      <c r="J25" s="23"/>
      <c r="K25" s="24"/>
      <c r="L25" s="25">
        <v>1</v>
      </c>
    </row>
    <row r="26" spans="1:12" s="3" customFormat="1" ht="13.5" customHeight="1" x14ac:dyDescent="0.2">
      <c r="A26" s="8"/>
      <c r="B26" s="17">
        <f t="shared" si="0"/>
        <v>17</v>
      </c>
      <c r="C26" s="18" t="s">
        <v>47</v>
      </c>
      <c r="D26" s="18" t="s">
        <v>48</v>
      </c>
      <c r="E26" s="18" t="s">
        <v>66</v>
      </c>
      <c r="F26" s="18" t="s">
        <v>84</v>
      </c>
      <c r="G26" s="18" t="s">
        <v>99</v>
      </c>
      <c r="H26" s="18" t="s">
        <v>114</v>
      </c>
      <c r="I26" s="19" t="s">
        <v>66</v>
      </c>
      <c r="J26" s="19"/>
      <c r="K26" s="20"/>
      <c r="L26" s="21">
        <v>1</v>
      </c>
    </row>
    <row r="27" spans="1:12" x14ac:dyDescent="0.2">
      <c r="A27" s="8"/>
      <c r="B27" s="68" t="s">
        <v>20</v>
      </c>
      <c r="C27" s="69"/>
      <c r="D27" s="40"/>
      <c r="E27" s="40"/>
      <c r="F27" s="40"/>
      <c r="G27" s="40"/>
      <c r="H27" s="41"/>
      <c r="I27" s="42"/>
      <c r="J27" s="43" t="s">
        <v>21</v>
      </c>
      <c r="K27" s="44"/>
      <c r="L27" s="64" t="s">
        <v>29</v>
      </c>
    </row>
    <row r="28" spans="1:12" x14ac:dyDescent="0.2">
      <c r="A28" s="8"/>
      <c r="B28" s="45"/>
      <c r="C28" s="45"/>
      <c r="D28" s="45"/>
      <c r="E28" s="45"/>
      <c r="F28" s="45"/>
      <c r="G28" s="45"/>
      <c r="H28" s="46"/>
      <c r="I28" s="47"/>
      <c r="J28" s="48"/>
      <c r="K28" s="48"/>
      <c r="L28" s="49"/>
    </row>
    <row r="29" spans="1:12" x14ac:dyDescent="0.2">
      <c r="A29" s="8"/>
      <c r="B29" s="45"/>
      <c r="C29" s="45"/>
      <c r="D29" s="45"/>
      <c r="E29" s="45"/>
      <c r="F29" s="45"/>
      <c r="G29" s="45"/>
      <c r="H29" s="45"/>
      <c r="I29" s="50"/>
      <c r="J29" s="46"/>
      <c r="K29" s="46"/>
      <c r="L29" s="51"/>
    </row>
    <row r="30" spans="1:12" x14ac:dyDescent="0.2">
      <c r="A30" s="8"/>
      <c r="B30" s="45"/>
      <c r="C30" s="45"/>
      <c r="D30" s="45"/>
      <c r="E30" s="45"/>
      <c r="F30" s="45"/>
      <c r="G30" s="45"/>
      <c r="H30" s="45"/>
      <c r="I30" s="50"/>
      <c r="J30" s="46"/>
      <c r="K30" s="46" t="s">
        <v>23</v>
      </c>
      <c r="L30" s="51"/>
    </row>
    <row r="31" spans="1:12" ht="13.5" thickBot="1" x14ac:dyDescent="0.25">
      <c r="A31" s="8"/>
      <c r="B31" s="52"/>
      <c r="C31" s="53"/>
      <c r="D31" s="53"/>
      <c r="E31" s="53"/>
      <c r="F31" s="53"/>
      <c r="G31" s="53"/>
      <c r="H31" s="53"/>
      <c r="I31" s="54"/>
      <c r="J31" s="55"/>
      <c r="K31" s="55"/>
      <c r="L31" s="56"/>
    </row>
    <row r="32" spans="1:12" x14ac:dyDescent="0.2">
      <c r="A32" s="57"/>
      <c r="B32" s="57"/>
      <c r="C32" s="58"/>
      <c r="D32" s="58"/>
      <c r="E32" s="58"/>
      <c r="F32" s="58"/>
      <c r="G32" s="58"/>
      <c r="H32" s="58"/>
      <c r="I32" s="58"/>
      <c r="J32" s="57"/>
      <c r="K32" s="57"/>
      <c r="L32" s="57"/>
    </row>
    <row r="33" spans="1:12" x14ac:dyDescent="0.2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2" x14ac:dyDescent="0.2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35" spans="1:12" x14ac:dyDescent="0.2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</row>
    <row r="36" spans="1:12" x14ac:dyDescent="0.2">
      <c r="A36" s="57"/>
      <c r="B36" s="57"/>
      <c r="C36" s="58"/>
      <c r="D36" s="58"/>
      <c r="E36" s="58"/>
      <c r="F36" s="58"/>
      <c r="G36" s="58"/>
      <c r="H36" s="58"/>
      <c r="I36" s="58"/>
      <c r="J36" s="57"/>
      <c r="K36" s="57"/>
      <c r="L36" s="57"/>
    </row>
    <row r="37" spans="1:12" x14ac:dyDescent="0.2">
      <c r="A37" s="57"/>
      <c r="B37" s="57"/>
      <c r="C37" s="58"/>
      <c r="D37" s="58"/>
      <c r="E37" s="58"/>
      <c r="F37" s="58"/>
      <c r="G37" s="58"/>
      <c r="H37" s="58"/>
      <c r="I37" s="58"/>
      <c r="J37" s="57"/>
      <c r="K37" s="57"/>
      <c r="L37" s="57"/>
    </row>
  </sheetData>
  <mergeCells count="1">
    <mergeCell ref="B27:C27"/>
  </mergeCells>
  <phoneticPr fontId="0" type="noConversion"/>
  <pageMargins left="0.46" right="0.36" top="0.57999999999999996" bottom="1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6" t="s">
        <v>0</v>
      </c>
      <c r="B1" s="65" t="s">
        <v>120</v>
      </c>
    </row>
    <row r="2" spans="1:2" x14ac:dyDescent="0.2">
      <c r="A2" s="5" t="s">
        <v>1</v>
      </c>
      <c r="B2" s="66" t="s">
        <v>25</v>
      </c>
    </row>
    <row r="3" spans="1:2" x14ac:dyDescent="0.2">
      <c r="A3" s="6" t="s">
        <v>2</v>
      </c>
      <c r="B3" s="67" t="s">
        <v>26</v>
      </c>
    </row>
    <row r="4" spans="1:2" x14ac:dyDescent="0.2">
      <c r="A4" s="5" t="s">
        <v>3</v>
      </c>
      <c r="B4" s="66" t="s">
        <v>25</v>
      </c>
    </row>
    <row r="5" spans="1:2" x14ac:dyDescent="0.2">
      <c r="A5" s="6" t="s">
        <v>4</v>
      </c>
      <c r="B5" s="67" t="s">
        <v>120</v>
      </c>
    </row>
    <row r="6" spans="1:2" x14ac:dyDescent="0.2">
      <c r="A6" s="5" t="s">
        <v>5</v>
      </c>
      <c r="B6" s="66" t="s">
        <v>24</v>
      </c>
    </row>
    <row r="7" spans="1:2" x14ac:dyDescent="0.2">
      <c r="A7" s="6" t="s">
        <v>6</v>
      </c>
      <c r="B7" s="67" t="s">
        <v>29</v>
      </c>
    </row>
    <row r="8" spans="1:2" x14ac:dyDescent="0.2">
      <c r="A8" s="5" t="s">
        <v>7</v>
      </c>
      <c r="B8" s="66" t="s">
        <v>28</v>
      </c>
    </row>
    <row r="9" spans="1:2" x14ac:dyDescent="0.2">
      <c r="A9" s="6" t="s">
        <v>8</v>
      </c>
      <c r="B9" s="67" t="s">
        <v>27</v>
      </c>
    </row>
    <row r="10" spans="1:2" x14ac:dyDescent="0.2">
      <c r="A10" s="5" t="s">
        <v>9</v>
      </c>
      <c r="B10" s="66" t="s">
        <v>121</v>
      </c>
    </row>
    <row r="11" spans="1:2" x14ac:dyDescent="0.2">
      <c r="A11" s="6" t="s">
        <v>10</v>
      </c>
      <c r="B11" s="67" t="s">
        <v>122</v>
      </c>
    </row>
    <row r="12" spans="1:2" x14ac:dyDescent="0.2">
      <c r="A12" s="5" t="s">
        <v>11</v>
      </c>
      <c r="B12" s="66" t="s">
        <v>123</v>
      </c>
    </row>
    <row r="13" spans="1:2" x14ac:dyDescent="0.2">
      <c r="A13" s="6" t="s">
        <v>12</v>
      </c>
      <c r="B13" s="67" t="s">
        <v>124</v>
      </c>
    </row>
    <row r="14" spans="1:2" x14ac:dyDescent="0.2">
      <c r="A14" s="5" t="s">
        <v>13</v>
      </c>
      <c r="B14" s="66" t="s">
        <v>122</v>
      </c>
    </row>
  </sheetData>
  <phoneticPr fontId="1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6D278D15A9E49AB839D5BDD142369" ma:contentTypeVersion="11" ma:contentTypeDescription="Create a new document." ma:contentTypeScope="" ma:versionID="d88048e331b825278812556f6838e8b7">
  <xsd:schema xmlns:xsd="http://www.w3.org/2001/XMLSchema" xmlns:xs="http://www.w3.org/2001/XMLSchema" xmlns:p="http://schemas.microsoft.com/office/2006/metadata/properties" xmlns:ns2="b8098351-7557-427d-82f7-0c6503602ca1" xmlns:ns3="2b908cf1-83f0-4e52-97b2-ed3bc883123e" targetNamespace="http://schemas.microsoft.com/office/2006/metadata/properties" ma:root="true" ma:fieldsID="79355d4bd219f26e13d7ce4f388b0a72" ns2:_="" ns3:_="">
    <xsd:import namespace="b8098351-7557-427d-82f7-0c6503602ca1"/>
    <xsd:import namespace="2b908cf1-83f0-4e52-97b2-ed3bc8831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98351-7557-427d-82f7-0c6503602c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341f242-16d4-4cb2-b578-8a26db82c7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08cf1-83f0-4e52-97b2-ed3bc8831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891bf2-147c-426f-b58c-6d78efb89304}" ma:internalName="TaxCatchAll" ma:showField="CatchAllData" ma:web="2b908cf1-83f0-4e52-97b2-ed3bc8831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98351-7557-427d-82f7-0c6503602ca1">
      <Terms xmlns="http://schemas.microsoft.com/office/infopath/2007/PartnerControls"/>
    </lcf76f155ced4ddcb4097134ff3c332f>
    <TaxCatchAll xmlns="2b908cf1-83f0-4e52-97b2-ed3bc883123e" xsi:nil="true"/>
  </documentManagement>
</p:properties>
</file>

<file path=customXml/itemProps1.xml><?xml version="1.0" encoding="utf-8"?>
<ds:datastoreItem xmlns:ds="http://schemas.openxmlformats.org/officeDocument/2006/customXml" ds:itemID="{6AD9CCFC-8D8A-448A-AB69-A74C0EE31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98351-7557-427d-82f7-0c6503602ca1"/>
    <ds:schemaRef ds:uri="2b908cf1-83f0-4e52-97b2-ed3bc8831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B945EF-83D7-42D8-B328-73A334B030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DBC715-BD96-428A-93C6-5DBA9587F1FA}">
  <ds:schemaRefs>
    <ds:schemaRef ds:uri="http://schemas.microsoft.com/office/2006/metadata/properties"/>
    <ds:schemaRef ds:uri="http://schemas.microsoft.com/office/infopath/2007/PartnerControls"/>
    <ds:schemaRef ds:uri="b8098351-7557-427d-82f7-0c6503602ca1"/>
    <ds:schemaRef ds:uri="2b908cf1-83f0-4e52-97b2-ed3bc88312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Hardware Design Engineer</dc:creator>
  <cp:lastModifiedBy>Burak Yalım</cp:lastModifiedBy>
  <cp:lastPrinted>2005-05-16T01:11:50Z</cp:lastPrinted>
  <dcterms:created xsi:type="dcterms:W3CDTF">2002-11-05T15:28:02Z</dcterms:created>
  <dcterms:modified xsi:type="dcterms:W3CDTF">2026-02-27T05:58:45Z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0x0101001856D278D15A9E49AB839D5BDD142369</vt:lpwstr>
  </property>
</Properties>
</file>